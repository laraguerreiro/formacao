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omo usar" sheetId="1" state="visible" r:id="rId3"/>
    <sheet name="Resumo do mês" sheetId="2" state="visible" r:id="rId4"/>
    <sheet name="Contas a pagar" sheetId="3" state="visible" r:id="rId5"/>
    <sheet name="Compras planeadas" sheetId="4" state="visible" r:id="rId6"/>
    <sheet name="Pequenos gasto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<sst xmlns="http://schemas.openxmlformats.org/spreadsheetml/2006/main" count="112" uniqueCount="84">
  <si>
    <t xml:space="preserve">Planilha das minhas contas</t>
  </si>
  <si>
    <t xml:space="preserve">Curso Dinheiro no Dia a Dia — Módulo 5</t>
  </si>
  <si>
    <t xml:space="preserve">As células AMARELAS são para escrever. As outras fazem as contas sozinhas.</t>
  </si>
  <si>
    <t xml:space="preserve">1. Separador «Resumo do mês»: escreva o mês e o dinheiro que entra (Módulo 1).</t>
  </si>
  <si>
    <t xml:space="preserve">2. Separador «Contas a pagar»: escreva cada conta, o dia em que paga e o valor.</t>
  </si>
  <si>
    <t xml:space="preserve">3. Quando pagar uma conta, mude «Pago?» para Sim e escreva o valor pago.</t>
  </si>
  <si>
    <t xml:space="preserve">   A linha fica verde quando está paga e cor de laranja quando falta pagar.</t>
  </si>
  <si>
    <t xml:space="preserve">4. Volte ao «Resumo do mês» para ver quanto falta pagar e quanto sobra.</t>
  </si>
  <si>
    <t xml:space="preserve">5. Separador «Compras planeadas»: escreva o que quer comprar e em quantos meses (Módulo 3).</t>
  </si>
  <si>
    <t xml:space="preserve">6. Separador «Pequenos gastos»: escreva os gastos pequenos de uma semana (Módulo 4).</t>
  </si>
  <si>
    <t xml:space="preserve">No início de cada mês: faça uma cópia do ficheiro, mude o mês e ponha todas as contas em «Não».</t>
  </si>
  <si>
    <t xml:space="preserve">Este ficheiro tem o exemplo do João (Módulos 1 e 2). Apague os valores amarelos e escreva os seus.</t>
  </si>
  <si>
    <t xml:space="preserve">Resumo do mês</t>
  </si>
  <si>
    <t xml:space="preserve">Escreva só nas células amarelas</t>
  </si>
  <si>
    <t xml:space="preserve">Mês</t>
  </si>
  <si>
    <t xml:space="preserve">Novembro 2026</t>
  </si>
  <si>
    <t xml:space="preserve">DINHEIRO QUE ENTRA</t>
  </si>
  <si>
    <t xml:space="preserve">Valor</t>
  </si>
  <si>
    <t xml:space="preserve">Salário líquido</t>
  </si>
  <si>
    <t xml:space="preserve">Subsídio de alimentação</t>
  </si>
  <si>
    <t xml:space="preserve">Outros (abono, horas extra…)</t>
  </si>
  <si>
    <t xml:space="preserve">Total que entra</t>
  </si>
  <si>
    <t xml:space="preserve">DINHEIRO QUE SAI</t>
  </si>
  <si>
    <t xml:space="preserve">Total das contas do mês</t>
  </si>
  <si>
    <t xml:space="preserve">Já paguei</t>
  </si>
  <si>
    <t xml:space="preserve">Ainda falta pagar</t>
  </si>
  <si>
    <t xml:space="preserve">Contas por pagar (quantas)</t>
  </si>
  <si>
    <t xml:space="preserve">SOBRA PREVISTA DO MÊS</t>
  </si>
  <si>
    <t xml:space="preserve">Contas a pagar</t>
  </si>
  <si>
    <t xml:space="preserve">Uma linha por conta. Quando pagar, mude «Pago?» para Sim.</t>
  </si>
  <si>
    <t xml:space="preserve">Conta</t>
  </si>
  <si>
    <t xml:space="preserve">Tipo</t>
  </si>
  <si>
    <t xml:space="preserve">Dia de pagar</t>
  </si>
  <si>
    <t xml:space="preserve">Valor previsto</t>
  </si>
  <si>
    <t xml:space="preserve">Como pago</t>
  </si>
  <si>
    <t xml:space="preserve">Pago?</t>
  </si>
  <si>
    <t xml:space="preserve">Valor pago</t>
  </si>
  <si>
    <t xml:space="preserve">Falta pagar</t>
  </si>
  <si>
    <t xml:space="preserve">Renda</t>
  </si>
  <si>
    <t xml:space="preserve">Fixa</t>
  </si>
  <si>
    <t xml:space="preserve">Transferência</t>
  </si>
  <si>
    <t xml:space="preserve">Sim</t>
  </si>
  <si>
    <t xml:space="preserve">Telemóvel e internet</t>
  </si>
  <si>
    <t xml:space="preserve">Débito direto</t>
  </si>
  <si>
    <t xml:space="preserve">Passe</t>
  </si>
  <si>
    <t xml:space="preserve">Multibanco</t>
  </si>
  <si>
    <t xml:space="preserve">Supermercado</t>
  </si>
  <si>
    <t xml:space="preserve">Variável</t>
  </si>
  <si>
    <t xml:space="preserve">Cartão</t>
  </si>
  <si>
    <t xml:space="preserve">Não</t>
  </si>
  <si>
    <t xml:space="preserve">Luz</t>
  </si>
  <si>
    <t xml:space="preserve">Água</t>
  </si>
  <si>
    <t xml:space="preserve">Guardar para seguro e IUC</t>
  </si>
  <si>
    <t xml:space="preserve">De vez em quando</t>
  </si>
  <si>
    <t xml:space="preserve">Poupança</t>
  </si>
  <si>
    <t xml:space="preserve">Lazer e outros</t>
  </si>
  <si>
    <t xml:space="preserve">Dinheiro</t>
  </si>
  <si>
    <t xml:space="preserve">TOTAL</t>
  </si>
  <si>
    <t xml:space="preserve">Tipo: Fixa, Variável, De vez em quando, Poupança (Módulo 2). Verde = paga. Laranja = falta pagar.</t>
  </si>
  <si>
    <t xml:space="preserve">Compras planeadas</t>
  </si>
  <si>
    <t xml:space="preserve">Junte o dinheiro antes de comprar (Módulo 3)</t>
  </si>
  <si>
    <t xml:space="preserve">O que quero comprar</t>
  </si>
  <si>
    <t xml:space="preserve">Preço</t>
  </si>
  <si>
    <t xml:space="preserve">Em quantos meses</t>
  </si>
  <si>
    <t xml:space="preserve">Guardar por mês</t>
  </si>
  <si>
    <t xml:space="preserve">Já guardei</t>
  </si>
  <si>
    <t xml:space="preserve">Ainda falta</t>
  </si>
  <si>
    <t xml:space="preserve">Máquina de lavar</t>
  </si>
  <si>
    <t xml:space="preserve">Bicicleta para o filho</t>
  </si>
  <si>
    <t xml:space="preserve">Pequenos gastos da semana</t>
  </si>
  <si>
    <t xml:space="preserve">Cafés, lanches, tabaco, apps, raspadinhas… (Módulo 4)</t>
  </si>
  <si>
    <t xml:space="preserve">Dia</t>
  </si>
  <si>
    <t xml:space="preserve">O quê</t>
  </si>
  <si>
    <t xml:space="preserve">Segunda</t>
  </si>
  <si>
    <t xml:space="preserve">Café</t>
  </si>
  <si>
    <t xml:space="preserve">Lanche</t>
  </si>
  <si>
    <t xml:space="preserve">Terça</t>
  </si>
  <si>
    <t xml:space="preserve">Quarta</t>
  </si>
  <si>
    <t xml:space="preserve">Raspadinha</t>
  </si>
  <si>
    <t xml:space="preserve">Quinta</t>
  </si>
  <si>
    <t xml:space="preserve">Sexta</t>
  </si>
  <si>
    <t xml:space="preserve">Total da semana</t>
  </si>
  <si>
    <t xml:space="preserve">Por mês (semana × 4)</t>
  </si>
  <si>
    <t xml:space="preserve">Por ano (mês × 12)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</si>
</sst>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&quot; €&quot;;\-#,##0.00&quot; €&quot;;\-"/>
    <numFmt numFmtId="166" formatCode="0"/>
    <numFmt numFmtId="167" formatCode="0&quot; por pagar&quot;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9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4C2"/>
        <bgColor rgb="FFFCE4D6"/>
      </patternFill>
    </fill>
    <fill>
      <patternFill patternType="solid">
        <fgColor rgb="FF1F4E79"/>
        <bgColor rgb="FF003366"/>
      </patternFill>
    </fill>
    <fill>
      <patternFill patternType="solid">
        <fgColor rgb="FFDDEBF7"/>
        <bgColor rgb="FFE2F0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CE4D6"/>
        </patternFill>
      </fill>
    </dxf>
    <dxf>
      <fill>
        <patternFill>
          <bgColor rgb="FFE2F0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4C2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/>
    </row>
    <row r="6" customFormat="false" ht="15" hidden="false" customHeight="false" outlineLevel="0" collapsed="false">
      <c r="A6" s="4" t="s">
        <v>3</v>
      </c>
    </row>
    <row r="7" customFormat="false" ht="15" hidden="false" customHeight="false" outlineLevel="0" collapsed="false">
      <c r="A7" s="4" t="s">
        <v>4</v>
      </c>
    </row>
    <row r="8" customFormat="false" ht="15" hidden="false" customHeight="false" outlineLevel="0" collapsed="false">
      <c r="A8" s="4" t="s">
        <v>5</v>
      </c>
    </row>
    <row r="9" customFormat="false" ht="15" hidden="false" customHeight="false" outlineLevel="0" collapsed="false">
      <c r="A9" s="4" t="s">
        <v>6</v>
      </c>
    </row>
    <row r="10" customFormat="false" ht="15" hidden="false" customHeight="false" outlineLevel="0" collapsed="false">
      <c r="A10" s="4" t="s">
        <v>7</v>
      </c>
    </row>
    <row r="11" customFormat="false" ht="15" hidden="false" customHeight="false" outlineLevel="0" collapsed="false">
      <c r="A11" s="4" t="s">
        <v>8</v>
      </c>
    </row>
    <row r="12" customFormat="false" ht="15" hidden="false" customHeight="false" outlineLevel="0" collapsed="false">
      <c r="A12" s="4" t="s">
        <v>9</v>
      </c>
    </row>
    <row r="13" customFormat="false" ht="15" hidden="false" customHeight="false" outlineLevel="0" collapsed="false">
      <c r="A13" s="4"/>
    </row>
    <row r="14" customFormat="false" ht="15" hidden="false" customHeight="false" outlineLevel="0" collapsed="false">
      <c r="A14" s="5" t="s">
        <v>10</v>
      </c>
    </row>
    <row r="15" customFormat="false" ht="15" hidden="false" customHeight="false" outlineLevel="0" collapsed="false">
      <c r="A15" s="4"/>
    </row>
    <row r="16" customFormat="false" ht="15" hidden="false" customHeight="false" outlineLevel="0" collapsed="false">
      <c r="A16" s="5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8"/>
  </cols>
  <sheetData>
    <row r="1" customFormat="false" ht="19.7" hidden="false" customHeight="false" outlineLevel="0" collapsed="false">
      <c r="A1" s="1" t="s">
        <v>12</v>
      </c>
    </row>
    <row r="2" customFormat="false" ht="15" hidden="false" customHeight="false" outlineLevel="0" collapsed="false">
      <c r="A2" s="2" t="s">
        <v>13</v>
      </c>
    </row>
    <row r="4" customFormat="false" ht="15" hidden="false" customHeight="false" outlineLevel="0" collapsed="false">
      <c r="A4" s="6" t="s">
        <v>14</v>
      </c>
      <c r="B4" s="7" t="s">
        <v>15</v>
      </c>
    </row>
    <row r="6" customFormat="false" ht="15" hidden="false" customHeight="false" outlineLevel="0" collapsed="false">
      <c r="A6" s="8" t="s">
        <v>16</v>
      </c>
      <c r="B6" s="8" t="s">
        <v>17</v>
      </c>
    </row>
    <row r="7" customFormat="false" ht="15" hidden="false" customHeight="false" outlineLevel="0" collapsed="false">
      <c r="A7" s="9" t="s">
        <v>18</v>
      </c>
      <c r="B7" s="10" t="n">
        <v>830</v>
      </c>
    </row>
    <row r="8" customFormat="false" ht="15" hidden="false" customHeight="false" outlineLevel="0" collapsed="false">
      <c r="A8" s="9" t="s">
        <v>19</v>
      </c>
      <c r="B8" s="10" t="n">
        <v>132</v>
      </c>
    </row>
    <row r="9" customFormat="false" ht="15" hidden="false" customHeight="false" outlineLevel="0" collapsed="false">
      <c r="A9" s="9" t="s">
        <v>20</v>
      </c>
      <c r="B9" s="10" t="n">
        <v>0</v>
      </c>
    </row>
    <row r="10" customFormat="false" ht="15" hidden="false" customHeight="false" outlineLevel="0" collapsed="false">
      <c r="A10" s="11" t="s">
        <v>21</v>
      </c>
      <c r="B10" s="12" t="n">
        <f aca="false">SUM(B7:B9)</f>
        <v>962</v>
      </c>
    </row>
    <row r="12" customFormat="false" ht="15" hidden="false" customHeight="false" outlineLevel="0" collapsed="false">
      <c r="A12" s="8" t="s">
        <v>22</v>
      </c>
      <c r="B12" s="8" t="s">
        <v>17</v>
      </c>
    </row>
    <row r="13" customFormat="false" ht="15" hidden="false" customHeight="false" outlineLevel="0" collapsed="false">
      <c r="A13" s="9" t="s">
        <v>23</v>
      </c>
      <c r="B13" s="13" t="n">
        <f aca="false">'Contas a pagar'!D30</f>
        <v>910</v>
      </c>
    </row>
    <row r="14" customFormat="false" ht="15" hidden="false" customHeight="false" outlineLevel="0" collapsed="false">
      <c r="A14" s="9" t="s">
        <v>24</v>
      </c>
      <c r="B14" s="13" t="n">
        <f aca="false">'Contas a pagar'!G30</f>
        <v>555</v>
      </c>
    </row>
    <row r="15" customFormat="false" ht="15" hidden="false" customHeight="false" outlineLevel="0" collapsed="false">
      <c r="A15" s="9" t="s">
        <v>25</v>
      </c>
      <c r="B15" s="13" t="n">
        <f aca="false">'Contas a pagar'!H30</f>
        <v>355</v>
      </c>
    </row>
    <row r="16" customFormat="false" ht="15" hidden="false" customHeight="false" outlineLevel="0" collapsed="false">
      <c r="A16" s="9" t="s">
        <v>26</v>
      </c>
      <c r="B16" s="14" t="n">
        <f aca="false">'Contas a pagar'!F30</f>
        <v>4</v>
      </c>
    </row>
    <row r="18" customFormat="false" ht="15" hidden="false" customHeight="false" outlineLevel="0" collapsed="false">
      <c r="A18" s="11" t="s">
        <v>27</v>
      </c>
      <c r="B18" s="12" t="n">
        <f aca="false">B10-B13</f>
        <v>52</v>
      </c>
    </row>
    <row r="19" customFormat="false" ht="15" hidden="false" customHeight="false" outlineLevel="0" collapsed="false">
      <c r="A19" s="15" t="str">
        <f aca="false">IF(B10=0,"Escreva primeiro o dinheiro que entra.",IF(B18&lt;0,"Atenção: as contas são maiores do que o que entra.","Muito bem: o dinheiro chega para as contas do mês."))</f>
        <v>Muito bem: o dinheiro chega para as contas do mês.</v>
      </c>
    </row>
  </sheetData>
  <conditionalFormatting sqref="B18">
    <cfRule type="expression" priority="2" aboveAverage="0" equalAverage="0" bottom="0" percent="0" rank="0" text="" dxfId="0">
      <formula>B18&lt;0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3" min="3" style="0" width="11"/>
    <col collapsed="false" customWidth="true" hidden="false" outlineLevel="0" max="4" min="4" style="0" width="15"/>
    <col collapsed="false" customWidth="true" hidden="false" outlineLevel="0" max="5" min="5" style="0" width="17"/>
    <col collapsed="false" customWidth="true" hidden="false" outlineLevel="0" max="6" min="6" style="0" width="9"/>
    <col collapsed="false" customWidth="true" hidden="false" outlineLevel="0" max="8" min="7" style="0" width="14"/>
  </cols>
  <sheetData>
    <row r="1" customFormat="false" ht="19.7" hidden="false" customHeight="false" outlineLevel="0" collapsed="false">
      <c r="A1" s="1" t="s">
        <v>28</v>
      </c>
    </row>
    <row r="2" customFormat="false" ht="15" hidden="false" customHeight="false" outlineLevel="0" collapsed="false">
      <c r="A2" s="2" t="s">
        <v>29</v>
      </c>
    </row>
    <row r="4" customFormat="false" ht="31.5" hidden="false" customHeight="true" outlineLevel="0" collapsed="false">
      <c r="A4" s="16" t="s">
        <v>30</v>
      </c>
      <c r="B4" s="16" t="s">
        <v>31</v>
      </c>
      <c r="C4" s="16" t="s">
        <v>32</v>
      </c>
      <c r="D4" s="16" t="s">
        <v>33</v>
      </c>
      <c r="E4" s="16" t="s">
        <v>34</v>
      </c>
      <c r="F4" s="16" t="s">
        <v>35</v>
      </c>
      <c r="G4" s="16" t="s">
        <v>36</v>
      </c>
      <c r="H4" s="16" t="s">
        <v>37</v>
      </c>
    </row>
    <row r="5" customFormat="false" ht="15" hidden="false" customHeight="false" outlineLevel="0" collapsed="false">
      <c r="A5" s="7" t="s">
        <v>38</v>
      </c>
      <c r="B5" s="7" t="s">
        <v>39</v>
      </c>
      <c r="C5" s="17" t="n">
        <v>8</v>
      </c>
      <c r="D5" s="10" t="n">
        <v>400</v>
      </c>
      <c r="E5" s="7" t="s">
        <v>40</v>
      </c>
      <c r="F5" s="7" t="s">
        <v>41</v>
      </c>
      <c r="G5" s="10" t="n">
        <v>400</v>
      </c>
      <c r="H5" s="13" t="n">
        <f aca="false">IF(A5="","",IF(F5="Sim",0,D5))</f>
        <v>0</v>
      </c>
    </row>
    <row r="6" customFormat="false" ht="15" hidden="false" customHeight="false" outlineLevel="0" collapsed="false">
      <c r="A6" s="7" t="s">
        <v>42</v>
      </c>
      <c r="B6" s="7" t="s">
        <v>39</v>
      </c>
      <c r="C6" s="17" t="n">
        <v>15</v>
      </c>
      <c r="D6" s="10" t="n">
        <v>35</v>
      </c>
      <c r="E6" s="7" t="s">
        <v>43</v>
      </c>
      <c r="F6" s="7" t="s">
        <v>41</v>
      </c>
      <c r="G6" s="10" t="n">
        <v>35</v>
      </c>
      <c r="H6" s="13" t="n">
        <f aca="false">IF(A6="","",IF(F6="Sim",0,D6))</f>
        <v>0</v>
      </c>
    </row>
    <row r="7" customFormat="false" ht="15" hidden="false" customHeight="false" outlineLevel="0" collapsed="false">
      <c r="A7" s="7" t="s">
        <v>44</v>
      </c>
      <c r="B7" s="7" t="s">
        <v>39</v>
      </c>
      <c r="C7" s="17" t="n">
        <v>1</v>
      </c>
      <c r="D7" s="10" t="n">
        <v>40</v>
      </c>
      <c r="E7" s="7" t="s">
        <v>45</v>
      </c>
      <c r="F7" s="7" t="s">
        <v>41</v>
      </c>
      <c r="G7" s="10" t="n">
        <v>40</v>
      </c>
      <c r="H7" s="13" t="n">
        <f aca="false">IF(A7="","",IF(F7="Sim",0,D7))</f>
        <v>0</v>
      </c>
    </row>
    <row r="8" customFormat="false" ht="15" hidden="false" customHeight="false" outlineLevel="0" collapsed="false">
      <c r="A8" s="7" t="s">
        <v>46</v>
      </c>
      <c r="B8" s="7" t="s">
        <v>47</v>
      </c>
      <c r="C8" s="17"/>
      <c r="D8" s="10" t="n">
        <v>220</v>
      </c>
      <c r="E8" s="7" t="s">
        <v>48</v>
      </c>
      <c r="F8" s="7" t="s">
        <v>49</v>
      </c>
      <c r="G8" s="10"/>
      <c r="H8" s="13" t="n">
        <f aca="false">IF(A8="","",IF(F8="Sim",0,D8))</f>
        <v>220</v>
      </c>
    </row>
    <row r="9" customFormat="false" ht="15" hidden="false" customHeight="false" outlineLevel="0" collapsed="false">
      <c r="A9" s="7" t="s">
        <v>50</v>
      </c>
      <c r="B9" s="7" t="s">
        <v>47</v>
      </c>
      <c r="C9" s="17" t="n">
        <v>20</v>
      </c>
      <c r="D9" s="10" t="n">
        <v>45</v>
      </c>
      <c r="E9" s="7" t="s">
        <v>43</v>
      </c>
      <c r="F9" s="7" t="s">
        <v>49</v>
      </c>
      <c r="G9" s="10"/>
      <c r="H9" s="13" t="n">
        <f aca="false">IF(A9="","",IF(F9="Sim",0,D9))</f>
        <v>45</v>
      </c>
    </row>
    <row r="10" customFormat="false" ht="15" hidden="false" customHeight="false" outlineLevel="0" collapsed="false">
      <c r="A10" s="7" t="s">
        <v>51</v>
      </c>
      <c r="B10" s="7" t="s">
        <v>47</v>
      </c>
      <c r="C10" s="17" t="n">
        <v>22</v>
      </c>
      <c r="D10" s="10" t="n">
        <v>20</v>
      </c>
      <c r="E10" s="7" t="s">
        <v>45</v>
      </c>
      <c r="F10" s="7" t="s">
        <v>49</v>
      </c>
      <c r="G10" s="10"/>
      <c r="H10" s="13" t="n">
        <f aca="false">IF(A10="","",IF(F10="Sim",0,D10))</f>
        <v>20</v>
      </c>
    </row>
    <row r="11" customFormat="false" ht="15" hidden="false" customHeight="false" outlineLevel="0" collapsed="false">
      <c r="A11" s="7" t="s">
        <v>52</v>
      </c>
      <c r="B11" s="7" t="s">
        <v>53</v>
      </c>
      <c r="C11" s="17" t="n">
        <v>1</v>
      </c>
      <c r="D11" s="10" t="n">
        <v>30</v>
      </c>
      <c r="E11" s="7" t="s">
        <v>40</v>
      </c>
      <c r="F11" s="7" t="s">
        <v>41</v>
      </c>
      <c r="G11" s="10" t="n">
        <v>30</v>
      </c>
      <c r="H11" s="13" t="n">
        <f aca="false">IF(A11="","",IF(F11="Sim",0,D11))</f>
        <v>0</v>
      </c>
    </row>
    <row r="12" customFormat="false" ht="15" hidden="false" customHeight="false" outlineLevel="0" collapsed="false">
      <c r="A12" s="7" t="s">
        <v>54</v>
      </c>
      <c r="B12" s="7" t="s">
        <v>54</v>
      </c>
      <c r="C12" s="17" t="n">
        <v>1</v>
      </c>
      <c r="D12" s="10" t="n">
        <v>50</v>
      </c>
      <c r="E12" s="7" t="s">
        <v>40</v>
      </c>
      <c r="F12" s="7" t="s">
        <v>41</v>
      </c>
      <c r="G12" s="10" t="n">
        <v>50</v>
      </c>
      <c r="H12" s="13" t="n">
        <f aca="false">IF(A12="","",IF(F12="Sim",0,D12))</f>
        <v>0</v>
      </c>
    </row>
    <row r="13" customFormat="false" ht="15" hidden="false" customHeight="false" outlineLevel="0" collapsed="false">
      <c r="A13" s="7" t="s">
        <v>55</v>
      </c>
      <c r="B13" s="7" t="s">
        <v>47</v>
      </c>
      <c r="C13" s="17"/>
      <c r="D13" s="10" t="n">
        <v>70</v>
      </c>
      <c r="E13" s="7" t="s">
        <v>56</v>
      </c>
      <c r="F13" s="7" t="s">
        <v>49</v>
      </c>
      <c r="G13" s="10"/>
      <c r="H13" s="13" t="n">
        <f aca="false">IF(A13="","",IF(F13="Sim",0,D13))</f>
        <v>70</v>
      </c>
    </row>
    <row r="14" customFormat="false" ht="15" hidden="false" customHeight="false" outlineLevel="0" collapsed="false">
      <c r="A14" s="7"/>
      <c r="B14" s="7"/>
      <c r="C14" s="17"/>
      <c r="D14" s="10"/>
      <c r="E14" s="7"/>
      <c r="F14" s="7"/>
      <c r="G14" s="10"/>
      <c r="H14" s="13" t="str">
        <f aca="false">IF(A14="","",IF(F14="Sim",0,D14))</f>
        <v/>
      </c>
    </row>
    <row r="15" customFormat="false" ht="15" hidden="false" customHeight="false" outlineLevel="0" collapsed="false">
      <c r="A15" s="7"/>
      <c r="B15" s="7"/>
      <c r="C15" s="17"/>
      <c r="D15" s="10"/>
      <c r="E15" s="7"/>
      <c r="F15" s="7"/>
      <c r="G15" s="10"/>
      <c r="H15" s="13" t="str">
        <f aca="false">IF(A15="","",IF(F15="Sim",0,D15))</f>
        <v/>
      </c>
    </row>
    <row r="16" customFormat="false" ht="15" hidden="false" customHeight="false" outlineLevel="0" collapsed="false">
      <c r="A16" s="7"/>
      <c r="B16" s="7"/>
      <c r="C16" s="17"/>
      <c r="D16" s="10"/>
      <c r="E16" s="7"/>
      <c r="F16" s="7"/>
      <c r="G16" s="10"/>
      <c r="H16" s="13" t="str">
        <f aca="false">IF(A16="","",IF(F16="Sim",0,D16))</f>
        <v/>
      </c>
    </row>
    <row r="17" customFormat="false" ht="15" hidden="false" customHeight="false" outlineLevel="0" collapsed="false">
      <c r="A17" s="7"/>
      <c r="B17" s="7"/>
      <c r="C17" s="17"/>
      <c r="D17" s="10"/>
      <c r="E17" s="7"/>
      <c r="F17" s="7"/>
      <c r="G17" s="10"/>
      <c r="H17" s="13" t="str">
        <f aca="false">IF(A17="","",IF(F17="Sim",0,D17))</f>
        <v/>
      </c>
    </row>
    <row r="18" customFormat="false" ht="15" hidden="false" customHeight="false" outlineLevel="0" collapsed="false">
      <c r="A18" s="7"/>
      <c r="B18" s="7"/>
      <c r="C18" s="17"/>
      <c r="D18" s="10"/>
      <c r="E18" s="7"/>
      <c r="F18" s="7"/>
      <c r="G18" s="10"/>
      <c r="H18" s="13" t="str">
        <f aca="false">IF(A18="","",IF(F18="Sim",0,D18))</f>
        <v/>
      </c>
    </row>
    <row r="19" customFormat="false" ht="15" hidden="false" customHeight="false" outlineLevel="0" collapsed="false">
      <c r="A19" s="7"/>
      <c r="B19" s="7"/>
      <c r="C19" s="17"/>
      <c r="D19" s="10"/>
      <c r="E19" s="7"/>
      <c r="F19" s="7"/>
      <c r="G19" s="10"/>
      <c r="H19" s="13" t="str">
        <f aca="false">IF(A19="","",IF(F19="Sim",0,D19))</f>
        <v/>
      </c>
    </row>
    <row r="20" customFormat="false" ht="15" hidden="false" customHeight="false" outlineLevel="0" collapsed="false">
      <c r="A20" s="7"/>
      <c r="B20" s="7"/>
      <c r="C20" s="17"/>
      <c r="D20" s="10"/>
      <c r="E20" s="7"/>
      <c r="F20" s="7"/>
      <c r="G20" s="10"/>
      <c r="H20" s="13" t="str">
        <f aca="false">IF(A20="","",IF(F20="Sim",0,D20))</f>
        <v/>
      </c>
    </row>
    <row r="21" customFormat="false" ht="15" hidden="false" customHeight="false" outlineLevel="0" collapsed="false">
      <c r="A21" s="7"/>
      <c r="B21" s="7"/>
      <c r="C21" s="17"/>
      <c r="D21" s="10"/>
      <c r="E21" s="7"/>
      <c r="F21" s="7"/>
      <c r="G21" s="10"/>
      <c r="H21" s="13" t="str">
        <f aca="false">IF(A21="","",IF(F21="Sim",0,D21))</f>
        <v/>
      </c>
    </row>
    <row r="22" customFormat="false" ht="15" hidden="false" customHeight="false" outlineLevel="0" collapsed="false">
      <c r="A22" s="7"/>
      <c r="B22" s="7"/>
      <c r="C22" s="17"/>
      <c r="D22" s="10"/>
      <c r="E22" s="7"/>
      <c r="F22" s="7"/>
      <c r="G22" s="10"/>
      <c r="H22" s="13" t="str">
        <f aca="false">IF(A22="","",IF(F22="Sim",0,D22))</f>
        <v/>
      </c>
    </row>
    <row r="23" customFormat="false" ht="15" hidden="false" customHeight="false" outlineLevel="0" collapsed="false">
      <c r="A23" s="7"/>
      <c r="B23" s="7"/>
      <c r="C23" s="17"/>
      <c r="D23" s="10"/>
      <c r="E23" s="7"/>
      <c r="F23" s="7"/>
      <c r="G23" s="10"/>
      <c r="H23" s="13" t="str">
        <f aca="false">IF(A23="","",IF(F23="Sim",0,D23))</f>
        <v/>
      </c>
    </row>
    <row r="24" customFormat="false" ht="15" hidden="false" customHeight="false" outlineLevel="0" collapsed="false">
      <c r="A24" s="7"/>
      <c r="B24" s="7"/>
      <c r="C24" s="17"/>
      <c r="D24" s="10"/>
      <c r="E24" s="7"/>
      <c r="F24" s="7"/>
      <c r="G24" s="10"/>
      <c r="H24" s="13" t="str">
        <f aca="false">IF(A24="","",IF(F24="Sim",0,D24))</f>
        <v/>
      </c>
    </row>
    <row r="25" customFormat="false" ht="15" hidden="false" customHeight="false" outlineLevel="0" collapsed="false">
      <c r="A25" s="7"/>
      <c r="B25" s="7"/>
      <c r="C25" s="17"/>
      <c r="D25" s="10"/>
      <c r="E25" s="7"/>
      <c r="F25" s="7"/>
      <c r="G25" s="10"/>
      <c r="H25" s="13" t="str">
        <f aca="false">IF(A25="","",IF(F25="Sim",0,D25))</f>
        <v/>
      </c>
    </row>
    <row r="26" customFormat="false" ht="15" hidden="false" customHeight="false" outlineLevel="0" collapsed="false">
      <c r="A26" s="7"/>
      <c r="B26" s="7"/>
      <c r="C26" s="17"/>
      <c r="D26" s="10"/>
      <c r="E26" s="7"/>
      <c r="F26" s="7"/>
      <c r="G26" s="10"/>
      <c r="H26" s="13" t="str">
        <f aca="false">IF(A26="","",IF(F26="Sim",0,D26))</f>
        <v/>
      </c>
    </row>
    <row r="27" customFormat="false" ht="15" hidden="false" customHeight="false" outlineLevel="0" collapsed="false">
      <c r="A27" s="7"/>
      <c r="B27" s="7"/>
      <c r="C27" s="17"/>
      <c r="D27" s="10"/>
      <c r="E27" s="7"/>
      <c r="F27" s="7"/>
      <c r="G27" s="10"/>
      <c r="H27" s="13" t="str">
        <f aca="false">IF(A27="","",IF(F27="Sim",0,D27))</f>
        <v/>
      </c>
    </row>
    <row r="28" customFormat="false" ht="15" hidden="false" customHeight="false" outlineLevel="0" collapsed="false">
      <c r="A28" s="7"/>
      <c r="B28" s="7"/>
      <c r="C28" s="17"/>
      <c r="D28" s="10"/>
      <c r="E28" s="7"/>
      <c r="F28" s="7"/>
      <c r="G28" s="10"/>
      <c r="H28" s="13" t="str">
        <f aca="false">IF(A28="","",IF(F28="Sim",0,D28))</f>
        <v/>
      </c>
    </row>
    <row r="29" customFormat="false" ht="15" hidden="false" customHeight="false" outlineLevel="0" collapsed="false">
      <c r="A29" s="7"/>
      <c r="B29" s="7"/>
      <c r="C29" s="17"/>
      <c r="D29" s="10"/>
      <c r="E29" s="7"/>
      <c r="F29" s="7"/>
      <c r="G29" s="10"/>
      <c r="H29" s="13" t="str">
        <f aca="false">IF(A29="","",IF(F29="Sim",0,D29))</f>
        <v/>
      </c>
    </row>
    <row r="30" customFormat="false" ht="15" hidden="false" customHeight="false" outlineLevel="0" collapsed="false">
      <c r="A30" s="11" t="s">
        <v>57</v>
      </c>
      <c r="B30" s="18"/>
      <c r="C30" s="18"/>
      <c r="D30" s="12" t="n">
        <f aca="false">SUM(D5:D29)</f>
        <v>910</v>
      </c>
      <c r="E30" s="18"/>
      <c r="F30" s="19" t="n">
        <f aca="false">COUNTIFS(A5:A29,"&lt;&gt;",F5:F29,"&lt;&gt;Sim")</f>
        <v>4</v>
      </c>
      <c r="G30" s="12" t="n">
        <f aca="false">SUM(G5:G29)</f>
        <v>555</v>
      </c>
      <c r="H30" s="12" t="n">
        <f aca="false">SUM(H5:H29)</f>
        <v>355</v>
      </c>
    </row>
    <row r="32" customFormat="false" ht="15" hidden="false" customHeight="false" outlineLevel="0" collapsed="false">
      <c r="A32" s="20" t="s">
        <v>58</v>
      </c>
    </row>
  </sheetData>
  <conditionalFormatting sqref="A5:H29">
    <cfRule type="expression" priority="2" aboveAverage="0" equalAverage="0" bottom="0" percent="0" rank="0" text="" dxfId="1">
      <formula>$F5="Sim"</formula>
    </cfRule>
    <cfRule type="expression" priority="3" aboveAverage="0" equalAverage="0" bottom="0" percent="0" rank="0" text="" dxfId="0">
      <formula>AND($A5&lt;&gt;"",$F5&lt;&gt;"Sim")</formula>
    </cfRule>
  </conditionalFormatting>
  <dataValidations count="4">
    <dataValidation allowBlank="true" errorStyle="stop" operator="between" showDropDown="false" showErrorMessage="false" showInputMessage="false" sqref="B5:B29" type="list">
      <formula1>"Fixa,Variável,De vez em quando,Poupança"</formula1>
      <formula2>0</formula2>
    </dataValidation>
    <dataValidation allowBlank="true" errorStyle="stop" operator="between" showDropDown="false" showErrorMessage="false" showInputMessage="false" sqref="E5:E29" type="list">
      <formula1>"Débito direto,Multibanco,MB WAY,Cartão,Transferência,Dinheiro"</formula1>
      <formula2>0</formula2>
    </dataValidation>
    <dataValidation allowBlank="true" errorStyle="stop" operator="between" showDropDown="false" showErrorMessage="false" showInputMessage="false" sqref="F5:F29" type="list">
      <formula1>"Sim,Não"</formula1>
      <formula2>0</formula2>
    </dataValidation>
    <dataValidation allowBlank="true" error="Escreva um dia entre 1 e 31." errorStyle="stop" errorTitle="Dia" operator="between" showDropDown="false" showErrorMessage="true" showInputMessage="false" sqref="C5:C29" type="whole">
      <formula1>1</formula1>
      <formula2>31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3"/>
    <col collapsed="false" customWidth="true" hidden="false" outlineLevel="0" max="3" min="3" style="0" width="12"/>
    <col collapsed="false" customWidth="true" hidden="false" outlineLevel="0" max="4" min="4" style="0" width="15"/>
    <col collapsed="false" customWidth="true" hidden="false" outlineLevel="0" max="6" min="5" style="0" width="13"/>
  </cols>
  <sheetData>
    <row r="1" customFormat="false" ht="19.7" hidden="false" customHeight="false" outlineLevel="0" collapsed="false">
      <c r="A1" s="1" t="s">
        <v>59</v>
      </c>
    </row>
    <row r="2" customFormat="false" ht="15" hidden="false" customHeight="false" outlineLevel="0" collapsed="false">
      <c r="A2" s="2" t="s">
        <v>60</v>
      </c>
    </row>
    <row r="4" customFormat="false" ht="31.5" hidden="false" customHeight="true" outlineLevel="0" collapsed="false">
      <c r="A4" s="16" t="s">
        <v>61</v>
      </c>
      <c r="B4" s="16" t="s">
        <v>62</v>
      </c>
      <c r="C4" s="16" t="s">
        <v>63</v>
      </c>
      <c r="D4" s="16" t="s">
        <v>64</v>
      </c>
      <c r="E4" s="16" t="s">
        <v>65</v>
      </c>
      <c r="F4" s="16" t="s">
        <v>66</v>
      </c>
    </row>
    <row r="5" customFormat="false" ht="15" hidden="false" customHeight="false" outlineLevel="0" collapsed="false">
      <c r="A5" s="7" t="s">
        <v>67</v>
      </c>
      <c r="B5" s="10" t="n">
        <v>360</v>
      </c>
      <c r="C5" s="17" t="n">
        <v>6</v>
      </c>
      <c r="D5" s="13" t="n">
        <f aca="false">IF(OR(B5="",C5="",C5=0),"",B5/C5)</f>
        <v>60</v>
      </c>
      <c r="E5" s="10" t="n">
        <v>120</v>
      </c>
      <c r="F5" s="13" t="n">
        <f aca="false">IF(B5="","",MAX(B5-E5,0))</f>
        <v>240</v>
      </c>
    </row>
    <row r="6" customFormat="false" ht="15" hidden="false" customHeight="false" outlineLevel="0" collapsed="false">
      <c r="A6" s="7" t="s">
        <v>68</v>
      </c>
      <c r="B6" s="10" t="n">
        <v>150</v>
      </c>
      <c r="C6" s="17" t="n">
        <v>5</v>
      </c>
      <c r="D6" s="13" t="n">
        <f aca="false">IF(OR(B6="",C6="",C6=0),"",B6/C6)</f>
        <v>30</v>
      </c>
      <c r="E6" s="10" t="n">
        <v>30</v>
      </c>
      <c r="F6" s="13" t="n">
        <f aca="false">IF(B6="","",MAX(B6-E6,0))</f>
        <v>120</v>
      </c>
    </row>
    <row r="7" customFormat="false" ht="15" hidden="false" customHeight="false" outlineLevel="0" collapsed="false">
      <c r="A7" s="7"/>
      <c r="B7" s="10"/>
      <c r="C7" s="17"/>
      <c r="D7" s="13" t="str">
        <f aca="false">IF(OR(B7="",C7="",C7=0),"",B7/C7)</f>
        <v/>
      </c>
      <c r="E7" s="10"/>
      <c r="F7" s="13" t="str">
        <f aca="false">IF(B7="","",MAX(B7-E7,0))</f>
        <v/>
      </c>
    </row>
    <row r="8" customFormat="false" ht="15" hidden="false" customHeight="false" outlineLevel="0" collapsed="false">
      <c r="A8" s="7"/>
      <c r="B8" s="10"/>
      <c r="C8" s="17"/>
      <c r="D8" s="13" t="str">
        <f aca="false">IF(OR(B8="",C8="",C8=0),"",B8/C8)</f>
        <v/>
      </c>
      <c r="E8" s="10"/>
      <c r="F8" s="13" t="str">
        <f aca="false">IF(B8="","",MAX(B8-E8,0))</f>
        <v/>
      </c>
    </row>
    <row r="9" customFormat="false" ht="15" hidden="false" customHeight="false" outlineLevel="0" collapsed="false">
      <c r="A9" s="7"/>
      <c r="B9" s="10"/>
      <c r="C9" s="17"/>
      <c r="D9" s="13" t="str">
        <f aca="false">IF(OR(B9="",C9="",C9=0),"",B9/C9)</f>
        <v/>
      </c>
      <c r="E9" s="10"/>
      <c r="F9" s="13" t="str">
        <f aca="false">IF(B9="","",MAX(B9-E9,0))</f>
        <v/>
      </c>
    </row>
    <row r="10" customFormat="false" ht="15" hidden="false" customHeight="false" outlineLevel="0" collapsed="false">
      <c r="A10" s="7"/>
      <c r="B10" s="10"/>
      <c r="C10" s="17"/>
      <c r="D10" s="13" t="str">
        <f aca="false">IF(OR(B10="",C10="",C10=0),"",B10/C10)</f>
        <v/>
      </c>
      <c r="E10" s="10"/>
      <c r="F10" s="13" t="str">
        <f aca="false">IF(B10="","",MAX(B10-E10,0))</f>
        <v/>
      </c>
    </row>
    <row r="11" customFormat="false" ht="15" hidden="false" customHeight="false" outlineLevel="0" collapsed="false">
      <c r="A11" s="7"/>
      <c r="B11" s="10"/>
      <c r="C11" s="17"/>
      <c r="D11" s="13" t="str">
        <f aca="false">IF(OR(B11="",C11="",C11=0),"",B11/C11)</f>
        <v/>
      </c>
      <c r="E11" s="10"/>
      <c r="F11" s="13" t="str">
        <f aca="false">IF(B11="","",MAX(B11-E11,0))</f>
        <v/>
      </c>
    </row>
    <row r="12" customFormat="false" ht="15" hidden="false" customHeight="false" outlineLevel="0" collapsed="false">
      <c r="A12" s="7"/>
      <c r="B12" s="10"/>
      <c r="C12" s="17"/>
      <c r="D12" s="13" t="str">
        <f aca="false">IF(OR(B12="",C12="",C12=0),"",B12/C12)</f>
        <v/>
      </c>
      <c r="E12" s="10"/>
      <c r="F12" s="13" t="str">
        <f aca="false">IF(B12="","",MAX(B12-E12,0))</f>
        <v/>
      </c>
    </row>
    <row r="13" customFormat="false" ht="15" hidden="false" customHeight="false" outlineLevel="0" collapsed="false">
      <c r="A13" s="7"/>
      <c r="B13" s="10"/>
      <c r="C13" s="17"/>
      <c r="D13" s="13" t="str">
        <f aca="false">IF(OR(B13="",C13="",C13=0),"",B13/C13)</f>
        <v/>
      </c>
      <c r="E13" s="10"/>
      <c r="F13" s="13" t="str">
        <f aca="false">IF(B13="","",MAX(B13-E13,0))</f>
        <v/>
      </c>
    </row>
    <row r="14" customFormat="false" ht="15" hidden="false" customHeight="false" outlineLevel="0" collapsed="false">
      <c r="A14" s="7"/>
      <c r="B14" s="10"/>
      <c r="C14" s="17"/>
      <c r="D14" s="13" t="str">
        <f aca="false">IF(OR(B14="",C14="",C14=0),"",B14/C14)</f>
        <v/>
      </c>
      <c r="E14" s="10"/>
      <c r="F14" s="13" t="str">
        <f aca="false">IF(B14="","",MAX(B14-E14,0))</f>
        <v/>
      </c>
    </row>
    <row r="15" customFormat="false" ht="15" hidden="false" customHeight="false" outlineLevel="0" collapsed="false">
      <c r="A15" s="11" t="s">
        <v>57</v>
      </c>
      <c r="B15" s="12" t="n">
        <f aca="false">SUM(B5:B14)</f>
        <v>510</v>
      </c>
      <c r="C15" s="18"/>
      <c r="D15" s="12" t="n">
        <f aca="false">SUM(D5:D14)</f>
        <v>90</v>
      </c>
      <c r="E15" s="12" t="n">
        <f aca="false">SUM(E5:E14)</f>
        <v>150</v>
      </c>
      <c r="F15" s="12" t="n">
        <f aca="false">SUM(F5:F14)</f>
        <v>360</v>
      </c>
    </row>
  </sheetData>
  <dataValidations count="1">
    <dataValidation allowBlank="true" error="Escreva um número de meses (1 a 60)." errorStyle="stop" errorTitle="Meses" operator="between" showDropDown="false" showErrorMessage="true" showInputMessage="false" sqref="C5:C14" type="whole">
      <formula1>1</formula1>
      <formula2>60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  <col collapsed="false" customWidth="true" hidden="false" outlineLevel="0" max="3" min="3" style="0" width="13"/>
  </cols>
  <sheetData>
    <row r="1" customFormat="false" ht="19.7" hidden="false" customHeight="false" outlineLevel="0" collapsed="false">
      <c r="A1" s="1" t="s">
        <v>69</v>
      </c>
    </row>
    <row r="2" customFormat="false" ht="15" hidden="false" customHeight="false" outlineLevel="0" collapsed="false">
      <c r="A2" s="2" t="s">
        <v>70</v>
      </c>
    </row>
    <row r="4" customFormat="false" ht="31.5" hidden="false" customHeight="true" outlineLevel="0" collapsed="false">
      <c r="A4" s="16" t="s">
        <v>71</v>
      </c>
      <c r="B4" s="16" t="s">
        <v>72</v>
      </c>
      <c r="C4" s="16" t="s">
        <v>17</v>
      </c>
    </row>
    <row r="5" customFormat="false" ht="15" hidden="false" customHeight="false" outlineLevel="0" collapsed="false">
      <c r="A5" s="7" t="s">
        <v>73</v>
      </c>
      <c r="B5" s="7" t="s">
        <v>74</v>
      </c>
      <c r="C5" s="10" t="n">
        <v>1</v>
      </c>
    </row>
    <row r="6" customFormat="false" ht="15" hidden="false" customHeight="false" outlineLevel="0" collapsed="false">
      <c r="A6" s="7" t="s">
        <v>73</v>
      </c>
      <c r="B6" s="7" t="s">
        <v>75</v>
      </c>
      <c r="C6" s="10" t="n">
        <v>2.5</v>
      </c>
    </row>
    <row r="7" customFormat="false" ht="15" hidden="false" customHeight="false" outlineLevel="0" collapsed="false">
      <c r="A7" s="7" t="s">
        <v>76</v>
      </c>
      <c r="B7" s="7" t="s">
        <v>74</v>
      </c>
      <c r="C7" s="10" t="n">
        <v>1</v>
      </c>
    </row>
    <row r="8" customFormat="false" ht="15" hidden="false" customHeight="false" outlineLevel="0" collapsed="false">
      <c r="A8" s="7" t="s">
        <v>77</v>
      </c>
      <c r="B8" s="7" t="s">
        <v>74</v>
      </c>
      <c r="C8" s="10" t="n">
        <v>1</v>
      </c>
    </row>
    <row r="9" customFormat="false" ht="15" hidden="false" customHeight="false" outlineLevel="0" collapsed="false">
      <c r="A9" s="7" t="s">
        <v>77</v>
      </c>
      <c r="B9" s="7" t="s">
        <v>78</v>
      </c>
      <c r="C9" s="10" t="n">
        <v>2</v>
      </c>
    </row>
    <row r="10" customFormat="false" ht="15" hidden="false" customHeight="false" outlineLevel="0" collapsed="false">
      <c r="A10" s="7" t="s">
        <v>79</v>
      </c>
      <c r="B10" s="7" t="s">
        <v>74</v>
      </c>
      <c r="C10" s="10" t="n">
        <v>1</v>
      </c>
    </row>
    <row r="11" customFormat="false" ht="15" hidden="false" customHeight="false" outlineLevel="0" collapsed="false">
      <c r="A11" s="7" t="s">
        <v>80</v>
      </c>
      <c r="B11" s="7" t="s">
        <v>74</v>
      </c>
      <c r="C11" s="10" t="n">
        <v>1</v>
      </c>
    </row>
    <row r="12" customFormat="false" ht="15" hidden="false" customHeight="false" outlineLevel="0" collapsed="false">
      <c r="A12" s="7" t="s">
        <v>80</v>
      </c>
      <c r="B12" s="7" t="s">
        <v>75</v>
      </c>
      <c r="C12" s="10" t="n">
        <v>2.5</v>
      </c>
    </row>
    <row r="13" customFormat="false" ht="15" hidden="false" customHeight="false" outlineLevel="0" collapsed="false">
      <c r="A13" s="7"/>
      <c r="B13" s="7"/>
      <c r="C13" s="10"/>
    </row>
    <row r="14" customFormat="false" ht="15" hidden="false" customHeight="false" outlineLevel="0" collapsed="false">
      <c r="A14" s="7"/>
      <c r="B14" s="7"/>
      <c r="C14" s="10"/>
    </row>
    <row r="15" customFormat="false" ht="15" hidden="false" customHeight="false" outlineLevel="0" collapsed="false">
      <c r="A15" s="7"/>
      <c r="B15" s="7"/>
      <c r="C15" s="10"/>
    </row>
    <row r="16" customFormat="false" ht="15" hidden="false" customHeight="false" outlineLevel="0" collapsed="false">
      <c r="A16" s="7"/>
      <c r="B16" s="7"/>
      <c r="C16" s="10"/>
    </row>
    <row r="17" customFormat="false" ht="15" hidden="false" customHeight="false" outlineLevel="0" collapsed="false">
      <c r="A17" s="7"/>
      <c r="B17" s="7"/>
      <c r="C17" s="10"/>
    </row>
    <row r="18" customFormat="false" ht="15" hidden="false" customHeight="false" outlineLevel="0" collapsed="false">
      <c r="A18" s="7"/>
      <c r="B18" s="7"/>
      <c r="C18" s="10"/>
    </row>
    <row r="19" customFormat="false" ht="15" hidden="false" customHeight="false" outlineLevel="0" collapsed="false">
      <c r="A19" s="7"/>
      <c r="B19" s="7"/>
      <c r="C19" s="10"/>
    </row>
    <row r="20" customFormat="false" ht="15" hidden="false" customHeight="false" outlineLevel="0" collapsed="false">
      <c r="A20" s="7"/>
      <c r="B20" s="7"/>
      <c r="C20" s="10"/>
    </row>
    <row r="21" customFormat="false" ht="15" hidden="false" customHeight="false" outlineLevel="0" collapsed="false">
      <c r="A21" s="7"/>
      <c r="B21" s="7"/>
      <c r="C21" s="10"/>
    </row>
    <row r="22" customFormat="false" ht="15" hidden="false" customHeight="false" outlineLevel="0" collapsed="false">
      <c r="A22" s="7"/>
      <c r="B22" s="7"/>
      <c r="C22" s="10"/>
    </row>
    <row r="23" customFormat="false" ht="15" hidden="false" customHeight="false" outlineLevel="0" collapsed="false">
      <c r="A23" s="7"/>
      <c r="B23" s="7"/>
      <c r="C23" s="10"/>
    </row>
    <row r="24" customFormat="false" ht="15" hidden="false" customHeight="false" outlineLevel="0" collapsed="false">
      <c r="A24" s="7"/>
      <c r="B24" s="7"/>
      <c r="C24" s="10"/>
    </row>
    <row r="25" customFormat="false" ht="15" hidden="false" customHeight="false" outlineLevel="0" collapsed="false">
      <c r="A25" s="7"/>
      <c r="B25" s="7"/>
      <c r="C25" s="10"/>
    </row>
    <row r="26" customFormat="false" ht="15" hidden="false" customHeight="false" outlineLevel="0" collapsed="false">
      <c r="A26" s="7"/>
      <c r="B26" s="7"/>
      <c r="C26" s="10"/>
    </row>
    <row r="27" customFormat="false" ht="15" hidden="false" customHeight="false" outlineLevel="0" collapsed="false">
      <c r="A27" s="7"/>
      <c r="B27" s="7"/>
      <c r="C27" s="10"/>
    </row>
    <row r="28" customFormat="false" ht="15" hidden="false" customHeight="false" outlineLevel="0" collapsed="false">
      <c r="A28" s="7"/>
      <c r="B28" s="7"/>
      <c r="C28" s="10"/>
    </row>
    <row r="29" customFormat="false" ht="15" hidden="false" customHeight="false" outlineLevel="0" collapsed="false">
      <c r="A29" s="7"/>
      <c r="B29" s="7"/>
      <c r="C29" s="10"/>
    </row>
    <row r="31" customFormat="false" ht="15" hidden="false" customHeight="false" outlineLevel="0" collapsed="false">
      <c r="B31" s="11" t="s">
        <v>81</v>
      </c>
      <c r="C31" s="12" t="n">
        <f aca="false">SUM(C5:C29)</f>
        <v>12</v>
      </c>
    </row>
    <row r="32" customFormat="false" ht="15" hidden="false" customHeight="false" outlineLevel="0" collapsed="false">
      <c r="B32" s="11" t="s">
        <v>82</v>
      </c>
      <c r="C32" s="12" t="n">
        <f aca="false">C31*4</f>
        <v>48</v>
      </c>
    </row>
    <row r="33" customFormat="false" ht="15" hidden="false" customHeight="false" outlineLevel="0" collapsed="false">
      <c r="B33" s="11" t="s">
        <v>83</v>
      </c>
      <c r="C33" s="12" t="n">
        <f aca="false">C32*12</f>
        <v>576</v>
      </c>
    </row>
  </sheetData>
  <dataValidations count="1">
    <dataValidation allowBlank="true" errorStyle="stop" operator="between" showDropDown="false" showErrorMessage="false" showInputMessage="false" sqref="A5:A29" type="list">
      <formula1>"Segunda,Terça,Quarta,Quinta,Sexta,Sábado,Domingo"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2026-10-22T21:59:25Z</dcterms:created>
  <dc:creator>openpyxl</dc:creator>
  <dc:description/>
  <dc:language>en-US</dc:language>
  <cp:lastModifiedBy/>
  <dcterms:modified xsi:type="dcterms:W3CDTF">2026-10-22T21:59:25Z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